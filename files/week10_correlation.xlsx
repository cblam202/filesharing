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uemailprod-my.sharepoint.com/personal/cblam_ksu_edu/Documents/COE Data Analyst/EDCI 913 Inquiry I/Spring 2026/Data simulation/Lecture data/"/>
    </mc:Choice>
  </mc:AlternateContent>
  <xr:revisionPtr revIDLastSave="656" documentId="11_B35981270C9F3F5129B69650EE442AF0710427CF" xr6:coauthVersionLast="47" xr6:coauthVersionMax="47" xr10:uidLastSave="{BDF4A9EB-46C6-D24B-845A-9C8968455973}"/>
  <bookViews>
    <workbookView xWindow="0" yWindow="600" windowWidth="38400" windowHeight="19680" activeTab="1" xr2:uid="{00000000-000D-0000-FFFF-FFFF00000000}"/>
  </bookViews>
  <sheets>
    <sheet name="covariance" sheetId="2" r:id="rId1"/>
    <sheet name="practice" sheetId="3" r:id="rId2"/>
    <sheet name="more data" sheetId="1" r:id="rId3"/>
  </sheets>
  <definedNames>
    <definedName name="_xlnm._FilterDatabase" localSheetId="0" hidden="1">covariance!$A$5:$H$50</definedName>
    <definedName name="_xlnm._FilterDatabase" localSheetId="1" hidden="1">practice!$A$5:$H$50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I6" i="1"/>
  <c r="B5" i="2"/>
  <c r="I3" i="1"/>
  <c r="I4" i="1"/>
  <c r="I5" i="1"/>
  <c r="I7" i="1"/>
</calcChain>
</file>

<file path=xl/sharedStrings.xml><?xml version="1.0" encoding="utf-8"?>
<sst xmlns="http://schemas.openxmlformats.org/spreadsheetml/2006/main" count="89" uniqueCount="50">
  <si>
    <t>X</t>
  </si>
  <si>
    <t>Y_positive</t>
  </si>
  <si>
    <t>Y_negative</t>
  </si>
  <si>
    <t>Y_none</t>
  </si>
  <si>
    <t>Y_quad</t>
  </si>
  <si>
    <t>Y_positive to X</t>
  </si>
  <si>
    <t>Y_negative to X</t>
  </si>
  <si>
    <t>Y_none to X</t>
  </si>
  <si>
    <t>Y_quad to X</t>
  </si>
  <si>
    <t>Correlation</t>
  </si>
  <si>
    <r>
      <t xml:space="preserve">Coefficient </t>
    </r>
    <r>
      <rPr>
        <i/>
        <sz val="11"/>
        <rFont val="Calibri"/>
        <family val="2"/>
      </rPr>
      <t>r</t>
    </r>
  </si>
  <si>
    <t>Mean X</t>
  </si>
  <si>
    <t>Mean Y</t>
  </si>
  <si>
    <t>X - Mean(X)</t>
  </si>
  <si>
    <t>Y - Mean(Y)</t>
  </si>
  <si>
    <t>(X - Mean(X))*(Y - Mean(Y))</t>
  </si>
  <si>
    <t>Covariance</t>
  </si>
  <si>
    <t>Y</t>
  </si>
  <si>
    <t>Covariance over SD(X) times SD(Y)</t>
  </si>
  <si>
    <t>Pearson's r (built-in)</t>
  </si>
  <si>
    <t>Pearson's r (manual)</t>
  </si>
  <si>
    <t>Observation</t>
  </si>
  <si>
    <t>Sum (X - Mean(X))*(Y - Mean(Y))</t>
  </si>
  <si>
    <t>Standard Deviation SD(X)</t>
  </si>
  <si>
    <t>Standard Deviation SD(Y)</t>
  </si>
  <si>
    <t>Calculated using CORREL()</t>
  </si>
  <si>
    <t>Sample Size N</t>
  </si>
  <si>
    <t>Calculated using STDEV.S()</t>
  </si>
  <si>
    <t>Notes</t>
  </si>
  <si>
    <t>Results</t>
  </si>
  <si>
    <t>B6-D6</t>
  </si>
  <si>
    <t>C6-E6</t>
  </si>
  <si>
    <t>F6*G6</t>
  </si>
  <si>
    <t>J6/(J7-1)</t>
  </si>
  <si>
    <t>J8/(J10*J11)</t>
  </si>
  <si>
    <t>AVERAGE($B$6:$B$50)</t>
  </si>
  <si>
    <t>AVERAGE($C$6:$C$50)</t>
  </si>
  <si>
    <t>SUM($H$6:$H$50)</t>
  </si>
  <si>
    <t>STDEV.S($B$6:$B$50)</t>
  </si>
  <si>
    <t>STDEV.S($C$6:$C$50)</t>
  </si>
  <si>
    <t>$A$50</t>
  </si>
  <si>
    <t>CORREL($B$6:$B$50,$C$6:$C$50)</t>
  </si>
  <si>
    <r>
      <rPr>
        <b/>
        <sz val="11"/>
        <color rgb="FFFF0000"/>
        <rFont val="Calibri"/>
        <family val="2"/>
      </rPr>
      <t>Instruction:</t>
    </r>
    <r>
      <rPr>
        <sz val="11"/>
        <rFont val="Calibri"/>
        <family val="2"/>
      </rPr>
      <t xml:space="preserve"> Type the equal sign (=) at the beginning of each formula to apply the calculation.</t>
    </r>
  </si>
  <si>
    <t>Make sure to use the correct column and row references in all formulas. For example, B6:B50 refers to the full range of X values.</t>
  </si>
  <si>
    <t>The dollar sign ($) is used to lock cell references, such as $B$6:$B$50, so the formula does not change when it is copied from one cell to another.</t>
  </si>
  <si>
    <t>Sum of deviation products</t>
  </si>
  <si>
    <t>Number of observations in the dataset</t>
  </si>
  <si>
    <t>Averaging deviation products by (N-1)</t>
  </si>
  <si>
    <t>Y_outlier</t>
  </si>
  <si>
    <t>Y_outlier to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</si>
</sst>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name val="Calibri"/>
    </font>
    <font>
      <sz val="11"/>
      <name val="Calibri"/>
      <family val="2"/>
    </font>
    <font>
      <i/>
      <sz val="11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1" fontId="1" fillId="0" borderId="0" xfId="0" applyNumberFormat="1" applyFont="1"/>
    <xf numFmtId="1" fontId="0" fillId="0" borderId="0" xfId="0" applyNumberFormat="1"/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4" fillId="0" borderId="0" xfId="0" applyNumberFormat="1" applyFont="1"/>
    <xf numFmtId="2" fontId="4" fillId="0" borderId="0" xfId="0" applyNumberFormat="1" applyFont="1" applyAlignment="1">
      <alignment horizontal="center"/>
    </xf>
    <xf numFmtId="0" fontId="0" fillId="0" borderId="2" xfId="0" applyBorder="1"/>
    <xf numFmtId="2" fontId="4" fillId="0" borderId="2" xfId="0" applyNumberFormat="1" applyFont="1" applyBorder="1"/>
    <xf numFmtId="2" fontId="1" fillId="0" borderId="2" xfId="0" applyNumberFormat="1" applyFont="1" applyBorder="1"/>
    <xf numFmtId="2" fontId="0" fillId="0" borderId="2" xfId="0" applyNumberFormat="1" applyBorder="1"/>
    <xf numFmtId="1" fontId="4" fillId="0" borderId="0" xfId="0" applyNumberFormat="1" applyFont="1"/>
    <xf numFmtId="0" fontId="4" fillId="0" borderId="0" xfId="0" applyFont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9A74-C61C-9447-8614-8BA1483613CF}">
  <dimension ref="A1:K50"/>
  <sheetViews>
    <sheetView zoomScale="210" zoomScaleNormal="210" workbookViewId="0">
      <selection activeCell="E13" sqref="E13"/>
    </sheetView>
  </sheetViews>
  <sheetFormatPr baseColWidth="10" defaultRowHeight="15" x14ac:dyDescent="0.2"/>
  <cols>
    <col min="1" max="1" width="11.1640625" style="10" customWidth="1"/>
    <col min="2" max="3" width="11.1640625" customWidth="1"/>
    <col min="4" max="5" width="19.33203125" customWidth="1"/>
    <col min="6" max="7" width="11.83203125" style="1" customWidth="1"/>
    <col min="8" max="8" width="24" style="1" customWidth="1"/>
    <col min="9" max="9" width="26.1640625" style="15" customWidth="1"/>
    <col min="10" max="10" width="28.5" style="1" customWidth="1"/>
    <col min="11" max="11" width="26" customWidth="1"/>
  </cols>
  <sheetData>
    <row r="1" spans="1:11" x14ac:dyDescent="0.2">
      <c r="A1" s="9" t="s">
        <v>42</v>
      </c>
    </row>
    <row r="2" spans="1:11" x14ac:dyDescent="0.2">
      <c r="A2" s="9" t="s">
        <v>43</v>
      </c>
    </row>
    <row r="3" spans="1:11" x14ac:dyDescent="0.2">
      <c r="A3" s="9" t="s">
        <v>44</v>
      </c>
    </row>
    <row r="5" spans="1:11" s="20" customFormat="1" x14ac:dyDescent="0.2">
      <c r="A5" s="19" t="s">
        <v>21</v>
      </c>
      <c r="B5" s="14" t="str">
        <f>'more data'!A1</f>
        <v>X</v>
      </c>
      <c r="C5" s="14" t="s">
        <v>17</v>
      </c>
      <c r="D5" s="13" t="s">
        <v>11</v>
      </c>
      <c r="E5" s="13" t="s">
        <v>12</v>
      </c>
      <c r="F5" s="14" t="s">
        <v>13</v>
      </c>
      <c r="G5" s="14" t="s">
        <v>14</v>
      </c>
      <c r="H5" s="14" t="s">
        <v>15</v>
      </c>
      <c r="I5" s="16"/>
      <c r="J5" s="14" t="s">
        <v>29</v>
      </c>
      <c r="K5" s="13" t="s">
        <v>28</v>
      </c>
    </row>
    <row r="6" spans="1:11" x14ac:dyDescent="0.2">
      <c r="A6" s="10">
        <v>1</v>
      </c>
      <c r="B6" s="21">
        <v>42.740001678466797</v>
      </c>
      <c r="C6" s="21">
        <v>47.520000457763672</v>
      </c>
      <c r="D6" s="7" t="s">
        <v>35</v>
      </c>
      <c r="E6" s="7" t="s">
        <v>36</v>
      </c>
      <c r="F6" s="8" t="s">
        <v>30</v>
      </c>
      <c r="G6" s="8" t="s">
        <v>31</v>
      </c>
      <c r="H6" s="8" t="s">
        <v>32</v>
      </c>
      <c r="I6" s="17" t="s">
        <v>22</v>
      </c>
      <c r="J6" s="8" t="s">
        <v>37</v>
      </c>
      <c r="K6" s="7" t="s">
        <v>45</v>
      </c>
    </row>
    <row r="7" spans="1:11" x14ac:dyDescent="0.2">
      <c r="A7" s="10">
        <v>2</v>
      </c>
      <c r="B7" s="21">
        <v>46.540000915527344</v>
      </c>
      <c r="C7" s="21">
        <v>56.299999237060547</v>
      </c>
      <c r="D7" s="7"/>
      <c r="E7" s="7"/>
      <c r="F7" s="8"/>
      <c r="G7" s="8"/>
      <c r="H7" s="8"/>
      <c r="I7" s="17" t="s">
        <v>26</v>
      </c>
      <c r="J7" s="12" t="s">
        <v>40</v>
      </c>
      <c r="K7" s="7" t="s">
        <v>46</v>
      </c>
    </row>
    <row r="8" spans="1:11" x14ac:dyDescent="0.2">
      <c r="A8" s="10">
        <v>3</v>
      </c>
      <c r="B8" s="21">
        <v>47.150001525878906</v>
      </c>
      <c r="C8" s="21">
        <v>43.169998168945312</v>
      </c>
      <c r="D8" s="7"/>
      <c r="E8" s="7"/>
      <c r="F8" s="8"/>
      <c r="G8" s="8"/>
      <c r="H8" s="8"/>
      <c r="I8" s="17" t="s">
        <v>16</v>
      </c>
      <c r="J8" s="8" t="s">
        <v>33</v>
      </c>
      <c r="K8" s="7" t="s">
        <v>47</v>
      </c>
    </row>
    <row r="9" spans="1:11" x14ac:dyDescent="0.2">
      <c r="A9" s="10">
        <v>4</v>
      </c>
      <c r="B9" s="21">
        <v>47.25</v>
      </c>
      <c r="C9" s="21">
        <v>47.270000457763672</v>
      </c>
      <c r="D9" s="7"/>
      <c r="E9" s="7"/>
      <c r="F9" s="8"/>
      <c r="G9" s="8"/>
      <c r="H9" s="8"/>
      <c r="I9" s="18"/>
      <c r="J9" s="5"/>
      <c r="K9" s="6"/>
    </row>
    <row r="10" spans="1:11" x14ac:dyDescent="0.2">
      <c r="A10" s="10">
        <v>5</v>
      </c>
      <c r="B10" s="21">
        <v>48.630001068115234</v>
      </c>
      <c r="C10" s="21">
        <v>43.529998779296875</v>
      </c>
      <c r="D10" s="7"/>
      <c r="E10" s="7"/>
      <c r="F10" s="8"/>
      <c r="G10" s="8"/>
      <c r="H10" s="8"/>
      <c r="I10" s="17" t="s">
        <v>23</v>
      </c>
      <c r="J10" s="8" t="s">
        <v>38</v>
      </c>
      <c r="K10" s="7" t="s">
        <v>27</v>
      </c>
    </row>
    <row r="11" spans="1:11" x14ac:dyDescent="0.2">
      <c r="A11" s="10">
        <v>6</v>
      </c>
      <c r="B11" s="21">
        <v>48.869998931884766</v>
      </c>
      <c r="C11" s="21">
        <v>45.680000305175781</v>
      </c>
      <c r="D11" s="7"/>
      <c r="E11" s="7"/>
      <c r="F11" s="8"/>
      <c r="G11" s="8"/>
      <c r="H11" s="8"/>
      <c r="I11" s="17" t="s">
        <v>24</v>
      </c>
      <c r="J11" s="8" t="s">
        <v>39</v>
      </c>
      <c r="K11" s="7" t="s">
        <v>27</v>
      </c>
    </row>
    <row r="12" spans="1:11" x14ac:dyDescent="0.2">
      <c r="A12" s="10">
        <v>7</v>
      </c>
      <c r="B12" s="21">
        <v>49.869998931884766</v>
      </c>
      <c r="C12" s="21">
        <v>48.860000610351562</v>
      </c>
      <c r="D12" s="7"/>
      <c r="E12" s="7"/>
      <c r="F12" s="8"/>
      <c r="G12" s="8"/>
      <c r="H12" s="8"/>
      <c r="I12" s="18"/>
      <c r="J12" s="5"/>
      <c r="K12" s="6"/>
    </row>
    <row r="13" spans="1:11" x14ac:dyDescent="0.2">
      <c r="A13" s="10">
        <v>8</v>
      </c>
      <c r="B13" s="21">
        <v>50.090000152587891</v>
      </c>
      <c r="C13" s="21">
        <v>33.729999542236328</v>
      </c>
      <c r="D13" s="7"/>
      <c r="E13" s="7"/>
      <c r="F13" s="8"/>
      <c r="G13" s="8"/>
      <c r="H13" s="8"/>
      <c r="I13" s="17" t="s">
        <v>20</v>
      </c>
      <c r="J13" s="11" t="s">
        <v>34</v>
      </c>
      <c r="K13" s="7" t="s">
        <v>18</v>
      </c>
    </row>
    <row r="14" spans="1:11" x14ac:dyDescent="0.2">
      <c r="A14" s="10">
        <v>9</v>
      </c>
      <c r="B14" s="21">
        <v>51.520000457763672</v>
      </c>
      <c r="C14" s="21">
        <v>40.369998931884766</v>
      </c>
      <c r="D14" s="7"/>
      <c r="E14" s="7"/>
      <c r="F14" s="8"/>
      <c r="G14" s="8"/>
      <c r="H14" s="8"/>
      <c r="I14" s="17" t="s">
        <v>19</v>
      </c>
      <c r="J14" s="11" t="s">
        <v>41</v>
      </c>
      <c r="K14" s="7" t="s">
        <v>25</v>
      </c>
    </row>
    <row r="15" spans="1:11" x14ac:dyDescent="0.2">
      <c r="A15" s="10">
        <v>10</v>
      </c>
      <c r="B15" s="21">
        <v>52.900001525878906</v>
      </c>
      <c r="C15" s="21">
        <v>52.110000610351562</v>
      </c>
      <c r="D15" s="7"/>
      <c r="E15" s="7"/>
      <c r="F15" s="8"/>
      <c r="G15" s="8"/>
      <c r="H15" s="8"/>
      <c r="I15" s="18"/>
      <c r="J15" s="5"/>
      <c r="K15" s="6"/>
    </row>
    <row r="16" spans="1:11" x14ac:dyDescent="0.2">
      <c r="A16" s="10">
        <v>11</v>
      </c>
      <c r="B16" s="21">
        <v>53.639999389648438</v>
      </c>
      <c r="C16" s="21">
        <v>53.049999237060547</v>
      </c>
      <c r="D16" s="7"/>
      <c r="E16" s="7"/>
      <c r="F16" s="8"/>
      <c r="G16" s="8"/>
      <c r="H16" s="8"/>
      <c r="I16" s="18"/>
      <c r="J16" s="5"/>
      <c r="K16" s="6"/>
    </row>
    <row r="17" spans="1:11" x14ac:dyDescent="0.2">
      <c r="A17" s="10">
        <v>12</v>
      </c>
      <c r="B17" s="21">
        <v>54.169998168945312</v>
      </c>
      <c r="C17" s="21">
        <v>46.619998931884766</v>
      </c>
      <c r="D17" s="7"/>
      <c r="E17" s="7"/>
      <c r="F17" s="8"/>
      <c r="G17" s="8"/>
      <c r="H17" s="8"/>
      <c r="I17" s="18"/>
      <c r="J17" s="5"/>
      <c r="K17" s="6"/>
    </row>
    <row r="18" spans="1:11" x14ac:dyDescent="0.2">
      <c r="A18" s="10">
        <v>13</v>
      </c>
      <c r="B18" s="21">
        <v>54.619998931884766</v>
      </c>
      <c r="C18" s="21">
        <v>39.630001068115234</v>
      </c>
      <c r="D18" s="7"/>
      <c r="E18" s="7"/>
      <c r="F18" s="8"/>
      <c r="G18" s="8"/>
      <c r="H18" s="8"/>
      <c r="I18" s="18"/>
      <c r="J18" s="5"/>
      <c r="K18" s="6"/>
    </row>
    <row r="19" spans="1:11" x14ac:dyDescent="0.2">
      <c r="A19" s="10">
        <v>14</v>
      </c>
      <c r="B19" s="21">
        <v>55.099998474121094</v>
      </c>
      <c r="C19" s="21">
        <v>43.290000915527344</v>
      </c>
      <c r="D19" s="7"/>
      <c r="E19" s="7"/>
      <c r="F19" s="8"/>
      <c r="G19" s="8"/>
      <c r="H19" s="8"/>
      <c r="I19" s="18"/>
      <c r="J19" s="5"/>
      <c r="K19" s="6"/>
    </row>
    <row r="20" spans="1:11" x14ac:dyDescent="0.2">
      <c r="A20" s="10">
        <v>15</v>
      </c>
      <c r="B20" s="21">
        <v>56.130001068115234</v>
      </c>
      <c r="C20" s="21">
        <v>43.450000762939453</v>
      </c>
      <c r="D20" s="7"/>
      <c r="E20" s="7"/>
      <c r="F20" s="8"/>
      <c r="G20" s="8"/>
      <c r="H20" s="8"/>
      <c r="I20" s="18"/>
      <c r="J20" s="5"/>
      <c r="K20" s="6"/>
    </row>
    <row r="21" spans="1:11" x14ac:dyDescent="0.2">
      <c r="A21" s="10">
        <v>16</v>
      </c>
      <c r="B21" s="21">
        <v>58.119998931884766</v>
      </c>
      <c r="C21" s="21">
        <v>63</v>
      </c>
      <c r="D21" s="7"/>
      <c r="E21" s="7"/>
      <c r="F21" s="8"/>
      <c r="G21" s="8"/>
      <c r="H21" s="8"/>
      <c r="I21" s="18"/>
      <c r="J21" s="5"/>
      <c r="K21" s="6"/>
    </row>
    <row r="22" spans="1:11" x14ac:dyDescent="0.2">
      <c r="A22" s="10">
        <v>17</v>
      </c>
      <c r="B22" s="21">
        <v>60.360000610351562</v>
      </c>
      <c r="C22" s="21">
        <v>52.610000610351562</v>
      </c>
      <c r="D22" s="7"/>
      <c r="E22" s="7"/>
      <c r="F22" s="8"/>
      <c r="G22" s="8"/>
      <c r="H22" s="8"/>
      <c r="I22" s="18"/>
      <c r="J22" s="5"/>
      <c r="K22" s="6"/>
    </row>
    <row r="23" spans="1:11" x14ac:dyDescent="0.2">
      <c r="A23" s="10">
        <v>18</v>
      </c>
      <c r="B23" s="21">
        <v>60.479999542236328</v>
      </c>
      <c r="C23" s="21">
        <v>57.220001220703125</v>
      </c>
      <c r="D23" s="7"/>
      <c r="E23" s="7"/>
      <c r="F23" s="8"/>
      <c r="G23" s="8"/>
      <c r="H23" s="8"/>
      <c r="I23" s="18"/>
      <c r="J23" s="5"/>
      <c r="K23" s="6"/>
    </row>
    <row r="24" spans="1:11" x14ac:dyDescent="0.2">
      <c r="A24" s="10">
        <v>19</v>
      </c>
      <c r="B24" s="21">
        <v>61</v>
      </c>
      <c r="C24" s="21">
        <v>62.569999694824219</v>
      </c>
      <c r="D24" s="7"/>
      <c r="E24" s="7"/>
      <c r="F24" s="8"/>
      <c r="G24" s="8"/>
      <c r="H24" s="8"/>
      <c r="I24" s="18"/>
      <c r="J24" s="5"/>
      <c r="K24" s="6"/>
    </row>
    <row r="25" spans="1:11" x14ac:dyDescent="0.2">
      <c r="A25" s="10">
        <v>20</v>
      </c>
      <c r="B25" s="21">
        <v>61.020000457763672</v>
      </c>
      <c r="C25" s="21">
        <v>51.849998474121094</v>
      </c>
      <c r="D25" s="7"/>
      <c r="E25" s="7"/>
      <c r="F25" s="8"/>
      <c r="G25" s="8"/>
      <c r="H25" s="8"/>
      <c r="I25" s="18"/>
      <c r="J25" s="5"/>
      <c r="K25" s="6"/>
    </row>
    <row r="26" spans="1:11" x14ac:dyDescent="0.2">
      <c r="A26" s="10">
        <v>21</v>
      </c>
      <c r="B26" s="21">
        <v>61.270000457763672</v>
      </c>
      <c r="C26" s="21">
        <v>63.919998168945312</v>
      </c>
      <c r="D26" s="7"/>
      <c r="E26" s="7"/>
      <c r="F26" s="8"/>
      <c r="G26" s="8"/>
      <c r="H26" s="8"/>
      <c r="I26" s="18"/>
      <c r="J26" s="5"/>
      <c r="K26" s="6"/>
    </row>
    <row r="27" spans="1:11" x14ac:dyDescent="0.2">
      <c r="A27" s="10">
        <v>22</v>
      </c>
      <c r="B27" s="21">
        <v>61.340000152587891</v>
      </c>
      <c r="C27" s="21">
        <v>64.779998779296875</v>
      </c>
      <c r="D27" s="7"/>
      <c r="E27" s="7"/>
      <c r="F27" s="8"/>
      <c r="G27" s="8"/>
      <c r="H27" s="8"/>
      <c r="I27" s="18"/>
      <c r="J27" s="5"/>
      <c r="K27" s="6"/>
    </row>
    <row r="28" spans="1:11" x14ac:dyDescent="0.2">
      <c r="A28" s="10">
        <v>23</v>
      </c>
      <c r="B28" s="21">
        <v>61.639999389648438</v>
      </c>
      <c r="C28" s="21">
        <v>50.759998321533203</v>
      </c>
      <c r="D28" s="7"/>
      <c r="E28" s="7"/>
      <c r="F28" s="8"/>
      <c r="G28" s="8"/>
      <c r="H28" s="8"/>
      <c r="I28" s="18"/>
      <c r="J28" s="5"/>
      <c r="K28" s="6"/>
    </row>
    <row r="29" spans="1:11" x14ac:dyDescent="0.2">
      <c r="A29" s="10">
        <v>24</v>
      </c>
      <c r="B29" s="21">
        <v>62.049999237060547</v>
      </c>
      <c r="C29" s="21">
        <v>54.290000915527344</v>
      </c>
      <c r="D29" s="7"/>
      <c r="E29" s="7"/>
      <c r="F29" s="8"/>
      <c r="G29" s="8"/>
      <c r="H29" s="8"/>
      <c r="I29" s="18"/>
      <c r="J29" s="5"/>
      <c r="K29" s="6"/>
    </row>
    <row r="30" spans="1:11" x14ac:dyDescent="0.2">
      <c r="A30" s="10">
        <v>25</v>
      </c>
      <c r="B30" s="21">
        <v>62.639999389648438</v>
      </c>
      <c r="C30" s="21">
        <v>65.80999755859375</v>
      </c>
      <c r="D30" s="7"/>
      <c r="E30" s="7"/>
      <c r="F30" s="8"/>
      <c r="G30" s="8"/>
      <c r="H30" s="8"/>
      <c r="I30" s="18"/>
      <c r="J30" s="5"/>
      <c r="K30" s="6"/>
    </row>
    <row r="31" spans="1:11" x14ac:dyDescent="0.2">
      <c r="A31" s="10">
        <v>26</v>
      </c>
      <c r="B31" s="21">
        <v>63.880001068115234</v>
      </c>
      <c r="C31" s="21">
        <v>60.240001678466797</v>
      </c>
      <c r="D31" s="7"/>
      <c r="E31" s="7"/>
      <c r="F31" s="8"/>
      <c r="G31" s="8"/>
      <c r="H31" s="8"/>
      <c r="I31" s="18"/>
      <c r="J31" s="5"/>
      <c r="K31" s="6"/>
    </row>
    <row r="32" spans="1:11" x14ac:dyDescent="0.2">
      <c r="A32" s="10">
        <v>27</v>
      </c>
      <c r="B32" s="21">
        <v>64.110000610351562</v>
      </c>
      <c r="C32" s="21">
        <v>58.650001525878906</v>
      </c>
      <c r="D32" s="7"/>
      <c r="E32" s="7"/>
      <c r="F32" s="8"/>
      <c r="G32" s="8"/>
      <c r="H32" s="8"/>
      <c r="I32" s="18"/>
      <c r="J32" s="5"/>
      <c r="K32" s="6"/>
    </row>
    <row r="33" spans="1:11" x14ac:dyDescent="0.2">
      <c r="A33" s="10">
        <v>28</v>
      </c>
      <c r="B33" s="21">
        <v>64.580001831054688</v>
      </c>
      <c r="C33" s="21">
        <v>64.569999694824219</v>
      </c>
      <c r="D33" s="7"/>
      <c r="E33" s="7"/>
      <c r="F33" s="8"/>
      <c r="G33" s="8"/>
      <c r="H33" s="8"/>
      <c r="I33" s="18"/>
      <c r="J33" s="5"/>
      <c r="K33" s="6"/>
    </row>
    <row r="34" spans="1:11" x14ac:dyDescent="0.2">
      <c r="A34" s="10">
        <v>29</v>
      </c>
      <c r="B34" s="21">
        <v>66.480003356933594</v>
      </c>
      <c r="C34" s="21">
        <v>49.770000457763672</v>
      </c>
      <c r="D34" s="7"/>
      <c r="E34" s="7"/>
      <c r="F34" s="8"/>
      <c r="G34" s="8"/>
      <c r="H34" s="8"/>
      <c r="I34" s="18"/>
      <c r="J34" s="5"/>
      <c r="K34" s="6"/>
    </row>
    <row r="35" spans="1:11" x14ac:dyDescent="0.2">
      <c r="A35" s="10">
        <v>30</v>
      </c>
      <c r="B35" s="21">
        <v>67.099998474121094</v>
      </c>
      <c r="C35" s="21">
        <v>63.470001220703125</v>
      </c>
      <c r="D35" s="7"/>
      <c r="E35" s="7"/>
      <c r="F35" s="8"/>
      <c r="G35" s="8"/>
      <c r="H35" s="8"/>
      <c r="I35" s="18"/>
      <c r="J35" s="5"/>
      <c r="K35" s="6"/>
    </row>
    <row r="36" spans="1:11" x14ac:dyDescent="0.2">
      <c r="A36" s="10">
        <v>31</v>
      </c>
      <c r="B36" s="21">
        <v>67.349998474121094</v>
      </c>
      <c r="C36" s="21">
        <v>57.810001373291016</v>
      </c>
      <c r="D36" s="7"/>
      <c r="E36" s="7"/>
      <c r="F36" s="8"/>
      <c r="G36" s="8"/>
      <c r="H36" s="8"/>
      <c r="I36" s="18"/>
      <c r="J36" s="5"/>
      <c r="K36" s="6"/>
    </row>
    <row r="37" spans="1:11" x14ac:dyDescent="0.2">
      <c r="A37" s="10">
        <v>32</v>
      </c>
      <c r="B37" s="21">
        <v>67.400001525878906</v>
      </c>
      <c r="C37" s="21">
        <v>60.150001525878906</v>
      </c>
      <c r="D37" s="7"/>
      <c r="E37" s="7"/>
      <c r="F37" s="8"/>
      <c r="G37" s="8"/>
      <c r="H37" s="8"/>
      <c r="I37" s="18"/>
      <c r="J37" s="5"/>
      <c r="K37" s="6"/>
    </row>
    <row r="38" spans="1:11" x14ac:dyDescent="0.2">
      <c r="A38" s="10">
        <v>33</v>
      </c>
      <c r="B38" s="21">
        <v>68.050003051757812</v>
      </c>
      <c r="C38" s="21">
        <v>62.580001831054688</v>
      </c>
      <c r="D38" s="7"/>
      <c r="E38" s="7"/>
      <c r="F38" s="8"/>
      <c r="G38" s="8"/>
      <c r="H38" s="8"/>
      <c r="I38" s="18"/>
      <c r="J38" s="5"/>
      <c r="K38" s="6"/>
    </row>
    <row r="39" spans="1:11" x14ac:dyDescent="0.2">
      <c r="A39" s="10">
        <v>34</v>
      </c>
      <c r="B39" s="21">
        <v>69.209999084472656</v>
      </c>
      <c r="C39" s="21">
        <v>70.410003662109375</v>
      </c>
      <c r="D39" s="7"/>
      <c r="E39" s="7"/>
      <c r="F39" s="8"/>
      <c r="G39" s="8"/>
      <c r="H39" s="8"/>
      <c r="I39" s="18"/>
      <c r="J39" s="5"/>
      <c r="K39" s="6"/>
    </row>
    <row r="40" spans="1:11" x14ac:dyDescent="0.2">
      <c r="A40" s="10">
        <v>35</v>
      </c>
      <c r="B40" s="21">
        <v>69.480003356933594</v>
      </c>
      <c r="C40" s="21">
        <v>68.019996643066406</v>
      </c>
      <c r="D40" s="7"/>
      <c r="E40" s="7"/>
      <c r="F40" s="8"/>
      <c r="G40" s="8"/>
      <c r="H40" s="8"/>
      <c r="I40" s="18"/>
      <c r="J40" s="5"/>
      <c r="K40" s="6"/>
    </row>
    <row r="41" spans="1:11" x14ac:dyDescent="0.2">
      <c r="A41" s="10">
        <v>36</v>
      </c>
      <c r="B41" s="21">
        <v>70.930000305175781</v>
      </c>
      <c r="C41" s="21">
        <v>78.769996643066406</v>
      </c>
      <c r="D41" s="7"/>
      <c r="E41" s="7"/>
      <c r="F41" s="8"/>
      <c r="G41" s="8"/>
      <c r="H41" s="8"/>
      <c r="I41" s="18"/>
      <c r="J41" s="5"/>
      <c r="K41" s="6"/>
    </row>
    <row r="42" spans="1:11" x14ac:dyDescent="0.2">
      <c r="A42" s="10">
        <v>37</v>
      </c>
      <c r="B42" s="21">
        <v>71.470001220703125</v>
      </c>
      <c r="C42" s="21">
        <v>68.069999694824219</v>
      </c>
      <c r="D42" s="7"/>
      <c r="E42" s="7"/>
      <c r="F42" s="8"/>
      <c r="G42" s="8"/>
      <c r="H42" s="8"/>
      <c r="I42" s="18"/>
      <c r="J42" s="5"/>
      <c r="K42" s="6"/>
    </row>
    <row r="43" spans="1:11" x14ac:dyDescent="0.2">
      <c r="A43" s="10">
        <v>38</v>
      </c>
      <c r="B43" s="21">
        <v>72.419998168945312</v>
      </c>
      <c r="C43" s="21">
        <v>70.25</v>
      </c>
      <c r="D43" s="7"/>
      <c r="E43" s="7"/>
      <c r="F43" s="8"/>
      <c r="G43" s="8"/>
      <c r="H43" s="8"/>
      <c r="I43" s="18"/>
      <c r="J43" s="5"/>
      <c r="K43" s="6"/>
    </row>
    <row r="44" spans="1:11" x14ac:dyDescent="0.2">
      <c r="A44" s="10">
        <v>39</v>
      </c>
      <c r="B44" s="21">
        <v>72.790000915527344</v>
      </c>
      <c r="C44" s="21">
        <v>71.089996337890625</v>
      </c>
      <c r="D44" s="7"/>
      <c r="E44" s="7"/>
      <c r="F44" s="8"/>
      <c r="G44" s="8"/>
      <c r="H44" s="8"/>
      <c r="I44" s="18"/>
      <c r="J44" s="5"/>
      <c r="K44" s="6"/>
    </row>
    <row r="45" spans="1:11" x14ac:dyDescent="0.2">
      <c r="A45" s="10">
        <v>40</v>
      </c>
      <c r="B45" s="21">
        <v>76.260002136230469</v>
      </c>
      <c r="C45" s="21">
        <v>75.739997863769531</v>
      </c>
      <c r="D45" s="7"/>
      <c r="E45" s="7"/>
      <c r="F45" s="8"/>
      <c r="G45" s="8"/>
      <c r="H45" s="8"/>
      <c r="I45" s="18"/>
      <c r="J45" s="5"/>
      <c r="K45" s="6"/>
    </row>
    <row r="46" spans="1:11" x14ac:dyDescent="0.2">
      <c r="A46" s="10">
        <v>41</v>
      </c>
      <c r="B46" s="21">
        <v>76.580001831054688</v>
      </c>
      <c r="C46" s="21">
        <v>82.769996643066406</v>
      </c>
      <c r="D46" s="7"/>
      <c r="E46" s="7"/>
      <c r="F46" s="8"/>
      <c r="G46" s="8"/>
      <c r="H46" s="8"/>
      <c r="I46" s="18"/>
      <c r="J46" s="5"/>
      <c r="K46" s="6"/>
    </row>
    <row r="47" spans="1:11" x14ac:dyDescent="0.2">
      <c r="A47" s="10">
        <v>42</v>
      </c>
      <c r="B47" s="21">
        <v>77.739997863769531</v>
      </c>
      <c r="C47" s="21">
        <v>67.760002136230469</v>
      </c>
      <c r="D47" s="7"/>
      <c r="E47" s="7"/>
      <c r="F47" s="8"/>
      <c r="G47" s="8"/>
      <c r="H47" s="8"/>
      <c r="I47" s="18"/>
      <c r="J47" s="5"/>
      <c r="K47" s="6"/>
    </row>
    <row r="48" spans="1:11" x14ac:dyDescent="0.2">
      <c r="A48" s="10">
        <v>43</v>
      </c>
      <c r="B48" s="21">
        <v>81.160003662109375</v>
      </c>
      <c r="C48" s="21">
        <v>73.25</v>
      </c>
      <c r="D48" s="7"/>
      <c r="E48" s="7"/>
      <c r="F48" s="8"/>
      <c r="G48" s="8"/>
      <c r="H48" s="8"/>
      <c r="I48" s="18"/>
      <c r="J48" s="5"/>
      <c r="K48" s="6"/>
    </row>
    <row r="49" spans="1:11" x14ac:dyDescent="0.2">
      <c r="A49" s="10">
        <v>44</v>
      </c>
      <c r="B49" s="21">
        <v>84.349998474121094</v>
      </c>
      <c r="C49" s="21">
        <v>68.989997863769531</v>
      </c>
      <c r="D49" s="7"/>
      <c r="E49" s="7"/>
      <c r="F49" s="8"/>
      <c r="G49" s="8"/>
      <c r="H49" s="8"/>
      <c r="I49" s="18"/>
      <c r="J49" s="5"/>
      <c r="K49" s="6"/>
    </row>
    <row r="50" spans="1:11" x14ac:dyDescent="0.2">
      <c r="A50" s="10">
        <v>45</v>
      </c>
      <c r="B50" s="21">
        <v>90.040000915527344</v>
      </c>
      <c r="C50" s="21">
        <v>86.760002136230469</v>
      </c>
      <c r="D50" s="7"/>
      <c r="E50" s="7"/>
      <c r="F50" s="8"/>
      <c r="G50" s="8"/>
      <c r="H50" s="8"/>
      <c r="I50" s="18"/>
      <c r="J50" s="5"/>
      <c r="K50" s="6"/>
    </row>
  </sheetData>
  <autoFilter ref="A5:H50" xr:uid="{CF529A74-C61C-9447-8614-8BA1483613CF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6F06E-9595-0742-988C-2D82AD29FD0A}">
  <dimension ref="A1:K50"/>
  <sheetViews>
    <sheetView tabSelected="1" zoomScale="210" zoomScaleNormal="210" workbookViewId="0">
      <selection activeCell="E14" sqref="E14"/>
    </sheetView>
  </sheetViews>
  <sheetFormatPr baseColWidth="10" defaultRowHeight="15" x14ac:dyDescent="0.2"/>
  <cols>
    <col min="1" max="1" width="11.1640625" style="10" customWidth="1"/>
    <col min="2" max="3" width="11.1640625" customWidth="1"/>
    <col min="4" max="5" width="19.33203125" customWidth="1"/>
    <col min="6" max="7" width="11.83203125" style="1" customWidth="1"/>
    <col min="8" max="8" width="24" style="1" customWidth="1"/>
    <col min="9" max="9" width="26.1640625" style="15" customWidth="1"/>
    <col min="10" max="10" width="28.5" style="1" customWidth="1"/>
    <col min="11" max="11" width="26" customWidth="1"/>
  </cols>
  <sheetData>
    <row r="1" spans="1:11" x14ac:dyDescent="0.2">
      <c r="A1" s="9" t="s">
        <v>42</v>
      </c>
    </row>
    <row r="2" spans="1:11" x14ac:dyDescent="0.2">
      <c r="A2" s="9" t="s">
        <v>43</v>
      </c>
    </row>
    <row r="3" spans="1:11" x14ac:dyDescent="0.2">
      <c r="A3" s="9" t="s">
        <v>44</v>
      </c>
    </row>
    <row r="5" spans="1:11" s="20" customFormat="1" x14ac:dyDescent="0.2">
      <c r="A5" s="19" t="s">
        <v>21</v>
      </c>
      <c r="B5" s="14" t="str">
        <f>'more data'!A1</f>
        <v>X</v>
      </c>
      <c r="C5" s="14" t="s">
        <v>17</v>
      </c>
      <c r="D5" s="13" t="s">
        <v>11</v>
      </c>
      <c r="E5" s="13" t="s">
        <v>12</v>
      </c>
      <c r="F5" s="14" t="s">
        <v>13</v>
      </c>
      <c r="G5" s="14" t="s">
        <v>14</v>
      </c>
      <c r="H5" s="14" t="s">
        <v>15</v>
      </c>
      <c r="I5" s="16"/>
      <c r="J5" s="14" t="s">
        <v>29</v>
      </c>
      <c r="K5" s="13" t="s">
        <v>28</v>
      </c>
    </row>
    <row r="6" spans="1:11" x14ac:dyDescent="0.2">
      <c r="A6" s="10">
        <v>1</v>
      </c>
      <c r="B6" s="21">
        <v>42.740001678466797</v>
      </c>
      <c r="C6" s="21">
        <v>47.229999542236328</v>
      </c>
      <c r="D6" s="7" t="s">
        <v>35</v>
      </c>
      <c r="E6" s="7" t="s">
        <v>36</v>
      </c>
      <c r="F6" s="8" t="s">
        <v>30</v>
      </c>
      <c r="G6" s="8" t="s">
        <v>31</v>
      </c>
      <c r="H6" s="8" t="s">
        <v>32</v>
      </c>
      <c r="I6" s="17" t="s">
        <v>22</v>
      </c>
      <c r="J6" s="8" t="s">
        <v>37</v>
      </c>
      <c r="K6" s="7" t="s">
        <v>45</v>
      </c>
    </row>
    <row r="7" spans="1:11" x14ac:dyDescent="0.2">
      <c r="A7" s="10">
        <v>2</v>
      </c>
      <c r="B7" s="21">
        <v>46.540000915527344</v>
      </c>
      <c r="C7" s="21">
        <v>57.619998931884766</v>
      </c>
      <c r="D7" s="7"/>
      <c r="E7" s="7"/>
      <c r="F7" s="8"/>
      <c r="G7" s="8"/>
      <c r="H7" s="8"/>
      <c r="I7" s="17" t="s">
        <v>26</v>
      </c>
      <c r="J7" s="12" t="s">
        <v>40</v>
      </c>
      <c r="K7" s="7" t="s">
        <v>46</v>
      </c>
    </row>
    <row r="8" spans="1:11" x14ac:dyDescent="0.2">
      <c r="A8" s="10">
        <v>3</v>
      </c>
      <c r="B8" s="21">
        <v>47.150001525878906</v>
      </c>
      <c r="C8" s="21">
        <v>68.260002136230469</v>
      </c>
      <c r="D8" s="7"/>
      <c r="E8" s="7"/>
      <c r="F8" s="8"/>
      <c r="G8" s="8"/>
      <c r="H8" s="8"/>
      <c r="I8" s="17" t="s">
        <v>16</v>
      </c>
      <c r="J8" s="8" t="s">
        <v>33</v>
      </c>
      <c r="K8" s="7" t="s">
        <v>47</v>
      </c>
    </row>
    <row r="9" spans="1:11" x14ac:dyDescent="0.2">
      <c r="A9" s="10">
        <v>4</v>
      </c>
      <c r="B9" s="21">
        <v>47.25</v>
      </c>
      <c r="C9" s="21">
        <v>154.97000122070312</v>
      </c>
      <c r="D9" s="7"/>
      <c r="E9" s="7"/>
      <c r="F9" s="8"/>
      <c r="G9" s="8"/>
      <c r="H9" s="8"/>
      <c r="I9" s="18"/>
      <c r="J9" s="5"/>
      <c r="K9" s="6"/>
    </row>
    <row r="10" spans="1:11" x14ac:dyDescent="0.2">
      <c r="A10" s="10">
        <v>5</v>
      </c>
      <c r="B10" s="21">
        <v>48.630001068115234</v>
      </c>
      <c r="C10" s="21">
        <v>103.23000335693359</v>
      </c>
      <c r="D10" s="7"/>
      <c r="E10" s="7"/>
      <c r="F10" s="8"/>
      <c r="G10" s="8"/>
      <c r="H10" s="8"/>
      <c r="I10" s="17" t="s">
        <v>23</v>
      </c>
      <c r="J10" s="8" t="s">
        <v>38</v>
      </c>
      <c r="K10" s="7" t="s">
        <v>27</v>
      </c>
    </row>
    <row r="11" spans="1:11" x14ac:dyDescent="0.2">
      <c r="A11" s="10">
        <v>6</v>
      </c>
      <c r="B11" s="21">
        <v>48.869998931884766</v>
      </c>
      <c r="C11" s="21">
        <v>45.490001678466797</v>
      </c>
      <c r="D11" s="7"/>
      <c r="E11" s="7"/>
      <c r="F11" s="8"/>
      <c r="G11" s="8"/>
      <c r="H11" s="8"/>
      <c r="I11" s="17" t="s">
        <v>24</v>
      </c>
      <c r="J11" s="8" t="s">
        <v>39</v>
      </c>
      <c r="K11" s="7" t="s">
        <v>27</v>
      </c>
    </row>
    <row r="12" spans="1:11" x14ac:dyDescent="0.2">
      <c r="A12" s="10">
        <v>7</v>
      </c>
      <c r="B12" s="21">
        <v>49.869998931884766</v>
      </c>
      <c r="C12" s="21">
        <v>94.660003662109375</v>
      </c>
      <c r="D12" s="7"/>
      <c r="E12" s="7"/>
      <c r="F12" s="8"/>
      <c r="G12" s="8"/>
      <c r="H12" s="8"/>
      <c r="I12" s="18"/>
      <c r="J12" s="5"/>
      <c r="K12" s="6"/>
    </row>
    <row r="13" spans="1:11" x14ac:dyDescent="0.2">
      <c r="A13" s="10">
        <v>8</v>
      </c>
      <c r="B13" s="21">
        <v>50.090000152587891</v>
      </c>
      <c r="C13" s="21">
        <v>120.51000213623047</v>
      </c>
      <c r="D13" s="7"/>
      <c r="E13" s="7"/>
      <c r="F13" s="8"/>
      <c r="G13" s="8"/>
      <c r="H13" s="8"/>
      <c r="I13" s="17" t="s">
        <v>20</v>
      </c>
      <c r="J13" s="11" t="s">
        <v>34</v>
      </c>
      <c r="K13" s="7" t="s">
        <v>18</v>
      </c>
    </row>
    <row r="14" spans="1:11" x14ac:dyDescent="0.2">
      <c r="A14" s="10">
        <v>9</v>
      </c>
      <c r="B14" s="21">
        <v>51.520000457763672</v>
      </c>
      <c r="C14" s="21">
        <v>110.22000122070312</v>
      </c>
      <c r="D14" s="7"/>
      <c r="E14" s="7"/>
      <c r="F14" s="8"/>
      <c r="G14" s="8"/>
      <c r="H14" s="8"/>
      <c r="I14" s="17" t="s">
        <v>19</v>
      </c>
      <c r="J14" s="11" t="s">
        <v>41</v>
      </c>
      <c r="K14" s="7" t="s">
        <v>25</v>
      </c>
    </row>
    <row r="15" spans="1:11" x14ac:dyDescent="0.2">
      <c r="A15" s="10">
        <v>10</v>
      </c>
      <c r="B15" s="21">
        <v>52.900001525878906</v>
      </c>
      <c r="C15" s="21">
        <v>94.819999694824219</v>
      </c>
      <c r="D15" s="7"/>
      <c r="E15" s="7"/>
      <c r="F15" s="8"/>
      <c r="G15" s="8"/>
      <c r="H15" s="8"/>
      <c r="I15" s="18"/>
      <c r="J15" s="5"/>
      <c r="K15" s="6"/>
    </row>
    <row r="16" spans="1:11" x14ac:dyDescent="0.2">
      <c r="A16" s="10">
        <v>11</v>
      </c>
      <c r="B16" s="21">
        <v>53.639999389648438</v>
      </c>
      <c r="C16" s="21">
        <v>110.73999786376953</v>
      </c>
      <c r="D16" s="7"/>
      <c r="E16" s="7"/>
      <c r="F16" s="8"/>
      <c r="G16" s="8"/>
      <c r="H16" s="8"/>
      <c r="I16" s="18"/>
      <c r="J16" s="5"/>
      <c r="K16" s="6"/>
    </row>
    <row r="17" spans="1:11" x14ac:dyDescent="0.2">
      <c r="A17" s="10">
        <v>12</v>
      </c>
      <c r="B17" s="21">
        <v>54.169998168945312</v>
      </c>
      <c r="C17" s="21">
        <v>107.69000244140625</v>
      </c>
      <c r="D17" s="7"/>
      <c r="E17" s="7"/>
      <c r="F17" s="8"/>
      <c r="G17" s="8"/>
      <c r="H17" s="8"/>
      <c r="I17" s="18"/>
      <c r="J17" s="5"/>
      <c r="K17" s="6"/>
    </row>
    <row r="18" spans="1:11" x14ac:dyDescent="0.2">
      <c r="A18" s="10">
        <v>13</v>
      </c>
      <c r="B18" s="21">
        <v>54.619998931884766</v>
      </c>
      <c r="C18" s="21">
        <v>62.349998474121094</v>
      </c>
      <c r="D18" s="7"/>
      <c r="E18" s="7"/>
      <c r="F18" s="8"/>
      <c r="G18" s="8"/>
      <c r="H18" s="8"/>
      <c r="I18" s="18"/>
      <c r="J18" s="5"/>
      <c r="K18" s="6"/>
    </row>
    <row r="19" spans="1:11" x14ac:dyDescent="0.2">
      <c r="A19" s="10">
        <v>14</v>
      </c>
      <c r="B19" s="21">
        <v>55.099998474121094</v>
      </c>
      <c r="C19" s="21">
        <v>62.330001831054688</v>
      </c>
      <c r="D19" s="7"/>
      <c r="E19" s="7"/>
      <c r="F19" s="8"/>
      <c r="G19" s="8"/>
      <c r="H19" s="8"/>
      <c r="I19" s="18"/>
      <c r="J19" s="5"/>
      <c r="K19" s="6"/>
    </row>
    <row r="20" spans="1:11" x14ac:dyDescent="0.2">
      <c r="A20" s="10">
        <v>15</v>
      </c>
      <c r="B20" s="21">
        <v>56.130001068115234</v>
      </c>
      <c r="C20" s="21">
        <v>106.44999694824219</v>
      </c>
      <c r="D20" s="7"/>
      <c r="E20" s="7"/>
      <c r="F20" s="8"/>
      <c r="G20" s="8"/>
      <c r="H20" s="8"/>
      <c r="I20" s="18"/>
      <c r="J20" s="5"/>
      <c r="K20" s="6"/>
    </row>
    <row r="21" spans="1:11" x14ac:dyDescent="0.2">
      <c r="A21" s="10">
        <v>16</v>
      </c>
      <c r="B21" s="21">
        <v>58.119998931884766</v>
      </c>
      <c r="C21" s="21">
        <v>51.130001068115234</v>
      </c>
      <c r="D21" s="7"/>
      <c r="E21" s="7"/>
      <c r="F21" s="8"/>
      <c r="G21" s="8"/>
      <c r="H21" s="8"/>
      <c r="I21" s="18"/>
      <c r="J21" s="5"/>
      <c r="K21" s="6"/>
    </row>
    <row r="22" spans="1:11" x14ac:dyDescent="0.2">
      <c r="A22" s="10">
        <v>17</v>
      </c>
      <c r="B22" s="21">
        <v>60.360000610351562</v>
      </c>
      <c r="C22" s="21">
        <v>28.010000228881836</v>
      </c>
      <c r="D22" s="7"/>
      <c r="E22" s="7"/>
      <c r="F22" s="8"/>
      <c r="G22" s="8"/>
      <c r="H22" s="8"/>
      <c r="I22" s="18"/>
      <c r="J22" s="5"/>
      <c r="K22" s="6"/>
    </row>
    <row r="23" spans="1:11" x14ac:dyDescent="0.2">
      <c r="A23" s="10">
        <v>18</v>
      </c>
      <c r="B23" s="21">
        <v>60.479999542236328</v>
      </c>
      <c r="C23" s="21">
        <v>87.900001525878906</v>
      </c>
      <c r="D23" s="7"/>
      <c r="E23" s="7"/>
      <c r="F23" s="8"/>
      <c r="G23" s="8"/>
      <c r="H23" s="8"/>
      <c r="I23" s="18"/>
      <c r="J23" s="5"/>
      <c r="K23" s="6"/>
    </row>
    <row r="24" spans="1:11" x14ac:dyDescent="0.2">
      <c r="A24" s="10">
        <v>19</v>
      </c>
      <c r="B24" s="21">
        <v>61</v>
      </c>
      <c r="C24" s="21">
        <v>144.39999389648438</v>
      </c>
      <c r="D24" s="7"/>
      <c r="E24" s="7"/>
      <c r="F24" s="8"/>
      <c r="G24" s="8"/>
      <c r="H24" s="8"/>
      <c r="I24" s="18"/>
      <c r="J24" s="5"/>
      <c r="K24" s="6"/>
    </row>
    <row r="25" spans="1:11" x14ac:dyDescent="0.2">
      <c r="A25" s="10">
        <v>20</v>
      </c>
      <c r="B25" s="21">
        <v>61.020000457763672</v>
      </c>
      <c r="C25" s="21">
        <v>38.700000762939453</v>
      </c>
      <c r="D25" s="7"/>
      <c r="E25" s="7"/>
      <c r="F25" s="8"/>
      <c r="G25" s="8"/>
      <c r="H25" s="8"/>
      <c r="I25" s="18"/>
      <c r="J25" s="5"/>
      <c r="K25" s="6"/>
    </row>
    <row r="26" spans="1:11" x14ac:dyDescent="0.2">
      <c r="A26" s="10">
        <v>21</v>
      </c>
      <c r="B26" s="21">
        <v>61.270000457763672</v>
      </c>
      <c r="C26" s="21">
        <v>89.19000244140625</v>
      </c>
      <c r="D26" s="7"/>
      <c r="E26" s="7"/>
      <c r="F26" s="8"/>
      <c r="G26" s="8"/>
      <c r="H26" s="8"/>
      <c r="I26" s="18"/>
      <c r="J26" s="5"/>
      <c r="K26" s="6"/>
    </row>
    <row r="27" spans="1:11" x14ac:dyDescent="0.2">
      <c r="A27" s="10">
        <v>22</v>
      </c>
      <c r="B27" s="21">
        <v>61.340000152587891</v>
      </c>
      <c r="C27" s="21">
        <v>103.45999908447266</v>
      </c>
      <c r="D27" s="7"/>
      <c r="E27" s="7"/>
      <c r="F27" s="8"/>
      <c r="G27" s="8"/>
      <c r="H27" s="8"/>
      <c r="I27" s="18"/>
      <c r="J27" s="5"/>
      <c r="K27" s="6"/>
    </row>
    <row r="28" spans="1:11" x14ac:dyDescent="0.2">
      <c r="A28" s="10">
        <v>23</v>
      </c>
      <c r="B28" s="21">
        <v>61.639999389648438</v>
      </c>
      <c r="C28" s="21">
        <v>96.419998168945312</v>
      </c>
      <c r="D28" s="7"/>
      <c r="E28" s="7"/>
      <c r="F28" s="8"/>
      <c r="G28" s="8"/>
      <c r="H28" s="8"/>
      <c r="I28" s="18"/>
      <c r="J28" s="5"/>
      <c r="K28" s="6"/>
    </row>
    <row r="29" spans="1:11" x14ac:dyDescent="0.2">
      <c r="A29" s="10">
        <v>24</v>
      </c>
      <c r="B29" s="21">
        <v>62.049999237060547</v>
      </c>
      <c r="C29" s="21">
        <v>85.349998474121094</v>
      </c>
      <c r="D29" s="7"/>
      <c r="E29" s="7"/>
      <c r="F29" s="8"/>
      <c r="G29" s="8"/>
      <c r="H29" s="8"/>
      <c r="I29" s="18"/>
      <c r="J29" s="5"/>
      <c r="K29" s="6"/>
    </row>
    <row r="30" spans="1:11" x14ac:dyDescent="0.2">
      <c r="A30" s="10">
        <v>25</v>
      </c>
      <c r="B30" s="21">
        <v>62.639999389648438</v>
      </c>
      <c r="C30" s="21">
        <v>71.370002746582031</v>
      </c>
      <c r="D30" s="7"/>
      <c r="E30" s="7"/>
      <c r="F30" s="8"/>
      <c r="G30" s="8"/>
      <c r="H30" s="8"/>
      <c r="I30" s="18"/>
      <c r="J30" s="5"/>
      <c r="K30" s="6"/>
    </row>
    <row r="31" spans="1:11" x14ac:dyDescent="0.2">
      <c r="A31" s="10">
        <v>26</v>
      </c>
      <c r="B31" s="21">
        <v>63.880001068115234</v>
      </c>
      <c r="C31" s="21">
        <v>76.279998779296875</v>
      </c>
      <c r="D31" s="7"/>
      <c r="E31" s="7"/>
      <c r="F31" s="8"/>
      <c r="G31" s="8"/>
      <c r="H31" s="8"/>
      <c r="I31" s="18"/>
      <c r="J31" s="5"/>
      <c r="K31" s="6"/>
    </row>
    <row r="32" spans="1:11" x14ac:dyDescent="0.2">
      <c r="A32" s="10">
        <v>27</v>
      </c>
      <c r="B32" s="21">
        <v>64.110000610351562</v>
      </c>
      <c r="C32" s="21">
        <v>33.479999542236328</v>
      </c>
      <c r="D32" s="7"/>
      <c r="E32" s="7"/>
      <c r="F32" s="8"/>
      <c r="G32" s="8"/>
      <c r="H32" s="8"/>
      <c r="I32" s="18"/>
      <c r="J32" s="5"/>
      <c r="K32" s="6"/>
    </row>
    <row r="33" spans="1:11" x14ac:dyDescent="0.2">
      <c r="A33" s="10">
        <v>28</v>
      </c>
      <c r="B33" s="21">
        <v>64.580001831054688</v>
      </c>
      <c r="C33" s="21">
        <v>81.760002136230469</v>
      </c>
      <c r="D33" s="7"/>
      <c r="E33" s="7"/>
      <c r="F33" s="8"/>
      <c r="G33" s="8"/>
      <c r="H33" s="8"/>
      <c r="I33" s="18"/>
      <c r="J33" s="5"/>
      <c r="K33" s="6"/>
    </row>
    <row r="34" spans="1:11" x14ac:dyDescent="0.2">
      <c r="A34" s="10">
        <v>29</v>
      </c>
      <c r="B34" s="21">
        <v>66.480003356933594</v>
      </c>
      <c r="C34" s="21">
        <v>109.23999786376953</v>
      </c>
      <c r="D34" s="7"/>
      <c r="E34" s="7"/>
      <c r="F34" s="8"/>
      <c r="G34" s="8"/>
      <c r="H34" s="8"/>
      <c r="I34" s="18"/>
      <c r="J34" s="5"/>
      <c r="K34" s="6"/>
    </row>
    <row r="35" spans="1:11" x14ac:dyDescent="0.2">
      <c r="A35" s="10">
        <v>30</v>
      </c>
      <c r="B35" s="21">
        <v>67.099998474121094</v>
      </c>
      <c r="C35" s="21">
        <v>152.28999328613281</v>
      </c>
      <c r="D35" s="7"/>
      <c r="E35" s="7"/>
      <c r="F35" s="8"/>
      <c r="G35" s="8"/>
      <c r="H35" s="8"/>
      <c r="I35" s="18"/>
      <c r="J35" s="5"/>
      <c r="K35" s="6"/>
    </row>
    <row r="36" spans="1:11" x14ac:dyDescent="0.2">
      <c r="A36" s="10">
        <v>31</v>
      </c>
      <c r="B36" s="21">
        <v>67.349998474121094</v>
      </c>
      <c r="C36" s="21">
        <v>37.540000915527344</v>
      </c>
      <c r="D36" s="7"/>
      <c r="E36" s="7"/>
      <c r="F36" s="8"/>
      <c r="G36" s="8"/>
      <c r="H36" s="8"/>
      <c r="I36" s="18"/>
      <c r="J36" s="5"/>
      <c r="K36" s="6"/>
    </row>
    <row r="37" spans="1:11" x14ac:dyDescent="0.2">
      <c r="A37" s="10">
        <v>32</v>
      </c>
      <c r="B37" s="21">
        <v>67.400001525878906</v>
      </c>
      <c r="C37" s="21">
        <v>101.76000213623047</v>
      </c>
      <c r="D37" s="7"/>
      <c r="E37" s="7"/>
      <c r="F37" s="8"/>
      <c r="G37" s="8"/>
      <c r="H37" s="8"/>
      <c r="I37" s="18"/>
      <c r="J37" s="5"/>
      <c r="K37" s="6"/>
    </row>
    <row r="38" spans="1:11" x14ac:dyDescent="0.2">
      <c r="A38" s="10">
        <v>33</v>
      </c>
      <c r="B38" s="21">
        <v>68.050003051757812</v>
      </c>
      <c r="C38" s="21">
        <v>108.65000152587891</v>
      </c>
      <c r="D38" s="7"/>
      <c r="E38" s="7"/>
      <c r="F38" s="8"/>
      <c r="G38" s="8"/>
      <c r="H38" s="8"/>
      <c r="I38" s="18"/>
      <c r="J38" s="5"/>
      <c r="K38" s="6"/>
    </row>
    <row r="39" spans="1:11" x14ac:dyDescent="0.2">
      <c r="A39" s="10">
        <v>34</v>
      </c>
      <c r="B39" s="21">
        <v>69.209999084472656</v>
      </c>
      <c r="C39" s="21">
        <v>76.510002136230469</v>
      </c>
      <c r="D39" s="7"/>
      <c r="E39" s="7"/>
      <c r="F39" s="8"/>
      <c r="G39" s="8"/>
      <c r="H39" s="8"/>
      <c r="I39" s="18"/>
      <c r="J39" s="5"/>
      <c r="K39" s="6"/>
    </row>
    <row r="40" spans="1:11" x14ac:dyDescent="0.2">
      <c r="A40" s="10">
        <v>35</v>
      </c>
      <c r="B40" s="21">
        <v>69.480003356933594</v>
      </c>
      <c r="C40" s="21">
        <v>139.58000183105469</v>
      </c>
      <c r="D40" s="7"/>
      <c r="E40" s="7"/>
      <c r="F40" s="8"/>
      <c r="G40" s="8"/>
      <c r="H40" s="8"/>
      <c r="I40" s="18"/>
      <c r="J40" s="5"/>
      <c r="K40" s="6"/>
    </row>
    <row r="41" spans="1:11" x14ac:dyDescent="0.2">
      <c r="A41" s="10">
        <v>36</v>
      </c>
      <c r="B41" s="21">
        <v>70.930000305175781</v>
      </c>
      <c r="C41" s="21">
        <v>28.850000381469727</v>
      </c>
      <c r="D41" s="7"/>
      <c r="E41" s="7"/>
      <c r="F41" s="8"/>
      <c r="G41" s="8"/>
      <c r="H41" s="8"/>
      <c r="I41" s="18"/>
      <c r="J41" s="5"/>
      <c r="K41" s="6"/>
    </row>
    <row r="42" spans="1:11" x14ac:dyDescent="0.2">
      <c r="A42" s="10">
        <v>37</v>
      </c>
      <c r="B42" s="21">
        <v>71.470001220703125</v>
      </c>
      <c r="C42" s="21">
        <v>100.51000213623047</v>
      </c>
      <c r="D42" s="7"/>
      <c r="E42" s="7"/>
      <c r="F42" s="8"/>
      <c r="G42" s="8"/>
      <c r="H42" s="8"/>
      <c r="I42" s="18"/>
      <c r="J42" s="5"/>
      <c r="K42" s="6"/>
    </row>
    <row r="43" spans="1:11" x14ac:dyDescent="0.2">
      <c r="A43" s="10">
        <v>38</v>
      </c>
      <c r="B43" s="21">
        <v>72.419998168945312</v>
      </c>
      <c r="C43" s="21">
        <v>87.370002746582031</v>
      </c>
      <c r="D43" s="7"/>
      <c r="E43" s="7"/>
      <c r="F43" s="8"/>
      <c r="G43" s="8"/>
      <c r="H43" s="8"/>
      <c r="I43" s="18"/>
      <c r="J43" s="5"/>
      <c r="K43" s="6"/>
    </row>
    <row r="44" spans="1:11" x14ac:dyDescent="0.2">
      <c r="A44" s="10">
        <v>39</v>
      </c>
      <c r="B44" s="21">
        <v>72.790000915527344</v>
      </c>
      <c r="C44" s="21">
        <v>113.12000274658203</v>
      </c>
      <c r="D44" s="7"/>
      <c r="E44" s="7"/>
      <c r="F44" s="8"/>
      <c r="G44" s="8"/>
      <c r="H44" s="8"/>
      <c r="I44" s="18"/>
      <c r="J44" s="5"/>
      <c r="K44" s="6"/>
    </row>
    <row r="45" spans="1:11" x14ac:dyDescent="0.2">
      <c r="A45" s="10">
        <v>40</v>
      </c>
      <c r="B45" s="21">
        <v>76.260002136230469</v>
      </c>
      <c r="C45" s="21">
        <v>120.04000091552734</v>
      </c>
      <c r="D45" s="7"/>
      <c r="E45" s="7"/>
      <c r="F45" s="8"/>
      <c r="G45" s="8"/>
      <c r="H45" s="8"/>
      <c r="I45" s="18"/>
      <c r="J45" s="5"/>
      <c r="K45" s="6"/>
    </row>
    <row r="46" spans="1:11" x14ac:dyDescent="0.2">
      <c r="A46" s="10">
        <v>41</v>
      </c>
      <c r="B46" s="21">
        <v>76.580001831054688</v>
      </c>
      <c r="C46" s="21">
        <v>58.450000762939453</v>
      </c>
      <c r="D46" s="7"/>
      <c r="E46" s="7"/>
      <c r="F46" s="8"/>
      <c r="G46" s="8"/>
      <c r="H46" s="8"/>
      <c r="I46" s="18"/>
      <c r="J46" s="5"/>
      <c r="K46" s="6"/>
    </row>
    <row r="47" spans="1:11" x14ac:dyDescent="0.2">
      <c r="A47" s="10">
        <v>42</v>
      </c>
      <c r="B47" s="21">
        <v>77.739997863769531</v>
      </c>
      <c r="C47" s="21">
        <v>74.519996643066406</v>
      </c>
      <c r="D47" s="7"/>
      <c r="E47" s="7"/>
      <c r="F47" s="8"/>
      <c r="G47" s="8"/>
      <c r="H47" s="8"/>
      <c r="I47" s="18"/>
      <c r="J47" s="5"/>
      <c r="K47" s="6"/>
    </row>
    <row r="48" spans="1:11" x14ac:dyDescent="0.2">
      <c r="A48" s="10">
        <v>43</v>
      </c>
      <c r="B48" s="21">
        <v>81.160003662109375</v>
      </c>
      <c r="C48" s="21">
        <v>88.160003662109375</v>
      </c>
      <c r="D48" s="7"/>
      <c r="E48" s="7"/>
      <c r="F48" s="8"/>
      <c r="G48" s="8"/>
      <c r="H48" s="8"/>
      <c r="I48" s="18"/>
      <c r="J48" s="5"/>
      <c r="K48" s="6"/>
    </row>
    <row r="49" spans="1:11" x14ac:dyDescent="0.2">
      <c r="A49" s="10">
        <v>44</v>
      </c>
      <c r="B49" s="21">
        <v>84.349998474121094</v>
      </c>
      <c r="C49" s="21">
        <v>83.400001525878906</v>
      </c>
      <c r="D49" s="7"/>
      <c r="E49" s="7"/>
      <c r="F49" s="8"/>
      <c r="G49" s="8"/>
      <c r="H49" s="8"/>
      <c r="I49" s="18"/>
      <c r="J49" s="5"/>
      <c r="K49" s="6"/>
    </row>
    <row r="50" spans="1:11" x14ac:dyDescent="0.2">
      <c r="A50" s="10">
        <v>45</v>
      </c>
      <c r="B50" s="21">
        <v>90.040000915527344</v>
      </c>
      <c r="C50" s="21">
        <v>86.099998474121094</v>
      </c>
      <c r="D50" s="7"/>
      <c r="E50" s="7"/>
      <c r="F50" s="8"/>
      <c r="G50" s="8"/>
      <c r="H50" s="8"/>
      <c r="I50" s="18"/>
      <c r="J50" s="5"/>
      <c r="K50" s="6"/>
    </row>
  </sheetData>
  <autoFilter ref="A5:H50" xr:uid="{CF529A74-C61C-9447-8614-8BA1483613C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zoomScale="150" zoomScaleNormal="150" workbookViewId="0">
      <selection activeCell="D2" sqref="D2:D46"/>
    </sheetView>
  </sheetViews>
  <sheetFormatPr baseColWidth="10" defaultColWidth="8.83203125" defaultRowHeight="15" x14ac:dyDescent="0.2"/>
  <cols>
    <col min="1" max="5" width="8.83203125" style="1"/>
    <col min="8" max="8" width="13.6640625" customWidth="1"/>
    <col min="9" max="9" width="9.83203125" style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t="s">
        <v>48</v>
      </c>
    </row>
    <row r="2" spans="1:9" x14ac:dyDescent="0.2">
      <c r="A2" s="21">
        <v>42.740001678466797</v>
      </c>
      <c r="B2" s="21">
        <v>47.520000457763672</v>
      </c>
      <c r="C2" s="21">
        <v>73.669998168945312</v>
      </c>
      <c r="D2" s="21">
        <v>47.229999542236328</v>
      </c>
      <c r="E2" s="21">
        <v>88.069999694824219</v>
      </c>
      <c r="F2" s="21">
        <v>55.950000762939453</v>
      </c>
      <c r="H2" s="2" t="s">
        <v>9</v>
      </c>
      <c r="I2" s="3" t="s">
        <v>10</v>
      </c>
    </row>
    <row r="3" spans="1:9" x14ac:dyDescent="0.2">
      <c r="A3" s="21">
        <v>46.540000915527344</v>
      </c>
      <c r="B3" s="21">
        <v>56.299999237060547</v>
      </c>
      <c r="C3" s="21">
        <v>63.080001831054688</v>
      </c>
      <c r="D3" s="21">
        <v>57.619998931884766</v>
      </c>
      <c r="E3" s="21">
        <v>85.870002746582031</v>
      </c>
      <c r="F3" s="21">
        <v>63.220001220703125</v>
      </c>
      <c r="H3" s="2" t="s">
        <v>5</v>
      </c>
      <c r="I3" s="4">
        <f>CORREL($B$2:$B$46,$A$2:$A$46)</f>
        <v>0.84733736141572702</v>
      </c>
    </row>
    <row r="4" spans="1:9" x14ac:dyDescent="0.2">
      <c r="A4" s="21">
        <v>47.150001525878906</v>
      </c>
      <c r="B4" s="21">
        <v>43.169998168945312</v>
      </c>
      <c r="C4" s="21">
        <v>65.209999084472656</v>
      </c>
      <c r="D4" s="21">
        <v>68.260002136230469</v>
      </c>
      <c r="E4" s="21">
        <v>85.790000915527344</v>
      </c>
      <c r="F4" s="21">
        <v>54.599998474121094</v>
      </c>
      <c r="H4" s="2" t="s">
        <v>6</v>
      </c>
      <c r="I4" s="4">
        <f>CORREL($C$2:$C$46,$A$2:$A$46)</f>
        <v>-0.86665376065619104</v>
      </c>
    </row>
    <row r="5" spans="1:9" x14ac:dyDescent="0.2">
      <c r="A5" s="21">
        <v>47.25</v>
      </c>
      <c r="B5" s="21">
        <v>47.270000457763672</v>
      </c>
      <c r="C5" s="21">
        <v>67.919998168945312</v>
      </c>
      <c r="D5" s="21">
        <v>154.97000122070312</v>
      </c>
      <c r="E5" s="21">
        <v>85.339996337890625</v>
      </c>
      <c r="F5" s="21">
        <v>51.990001678466797</v>
      </c>
      <c r="H5" s="2" t="s">
        <v>7</v>
      </c>
      <c r="I5" s="4">
        <f>CORREL($D$2:$D$46,$A$2:$A$46)</f>
        <v>2.1035486321875168E-2</v>
      </c>
    </row>
    <row r="6" spans="1:9" x14ac:dyDescent="0.2">
      <c r="A6" s="21">
        <v>48.630001068115234</v>
      </c>
      <c r="B6" s="21">
        <v>43.529998779296875</v>
      </c>
      <c r="C6" s="21">
        <v>55.439998626708984</v>
      </c>
      <c r="D6" s="21">
        <v>103.23000335693359</v>
      </c>
      <c r="E6" s="21">
        <v>84.790000915527344</v>
      </c>
      <c r="F6" s="21">
        <v>59.919998168945312</v>
      </c>
      <c r="H6" s="2" t="s">
        <v>49</v>
      </c>
      <c r="I6" s="4">
        <f>CORREL($A$2:$A$46,$F$2:$F$46)</f>
        <v>-0.60979895336070744</v>
      </c>
    </row>
    <row r="7" spans="1:9" x14ac:dyDescent="0.2">
      <c r="A7" s="21">
        <v>48.869998931884766</v>
      </c>
      <c r="B7" s="21">
        <v>45.680000305175781</v>
      </c>
      <c r="C7" s="21">
        <v>71.389999389648438</v>
      </c>
      <c r="D7" s="21">
        <v>45.490001678466797</v>
      </c>
      <c r="E7" s="21">
        <v>84.790000915527344</v>
      </c>
      <c r="F7" s="21">
        <v>52.139999389648438</v>
      </c>
      <c r="H7" s="2" t="s">
        <v>8</v>
      </c>
      <c r="I7" s="4">
        <f>CORREL($E$2:$E$46,$A$2:$A$46)</f>
        <v>0.5840798337176285</v>
      </c>
    </row>
    <row r="8" spans="1:9" x14ac:dyDescent="0.2">
      <c r="A8" s="21">
        <v>49.869998931884766</v>
      </c>
      <c r="B8" s="21">
        <v>48.860000610351562</v>
      </c>
      <c r="C8" s="21">
        <v>69.889999389648438</v>
      </c>
      <c r="D8" s="21">
        <v>94.660003662109375</v>
      </c>
      <c r="E8" s="21">
        <v>84.430000305175781</v>
      </c>
      <c r="F8" s="21">
        <v>48.720001220703125</v>
      </c>
    </row>
    <row r="9" spans="1:9" x14ac:dyDescent="0.2">
      <c r="A9" s="21">
        <v>50.090000152587891</v>
      </c>
      <c r="B9" s="21">
        <v>33.729999542236328</v>
      </c>
      <c r="C9" s="21">
        <v>59.840000152587891</v>
      </c>
      <c r="D9" s="21">
        <v>120.51000213623047</v>
      </c>
      <c r="E9" s="21">
        <v>84.379997253417969</v>
      </c>
      <c r="F9" s="21">
        <v>55</v>
      </c>
    </row>
    <row r="10" spans="1:9" x14ac:dyDescent="0.2">
      <c r="A10" s="21">
        <v>51.520000457763672</v>
      </c>
      <c r="B10" s="21">
        <v>40.369998931884766</v>
      </c>
      <c r="C10" s="21">
        <v>57.979999542236328</v>
      </c>
      <c r="D10" s="21">
        <v>110.22000122070312</v>
      </c>
      <c r="E10" s="21">
        <v>84.110000610351562</v>
      </c>
      <c r="F10" s="21">
        <v>54.470001220703125</v>
      </c>
    </row>
    <row r="11" spans="1:9" x14ac:dyDescent="0.2">
      <c r="A11" s="21">
        <v>52.900001525878906</v>
      </c>
      <c r="B11" s="21">
        <v>52.110000610351562</v>
      </c>
      <c r="C11" s="21">
        <v>60.029998779296875</v>
      </c>
      <c r="D11" s="21">
        <v>94.819999694824219</v>
      </c>
      <c r="E11" s="21">
        <v>83.889999389648438</v>
      </c>
      <c r="F11" s="21">
        <v>60.119998931884766</v>
      </c>
    </row>
    <row r="12" spans="1:9" x14ac:dyDescent="0.2">
      <c r="A12" s="21">
        <v>53.639999389648438</v>
      </c>
      <c r="B12" s="21">
        <v>53.049999237060547</v>
      </c>
      <c r="C12" s="21">
        <v>62.849998474121094</v>
      </c>
      <c r="D12" s="21">
        <v>110.73999786376953</v>
      </c>
      <c r="E12" s="21">
        <v>83.720001220703125</v>
      </c>
      <c r="F12" s="21">
        <v>51.990001678466797</v>
      </c>
    </row>
    <row r="13" spans="1:9" x14ac:dyDescent="0.2">
      <c r="A13" s="21">
        <v>54.169998168945312</v>
      </c>
      <c r="B13" s="21">
        <v>46.619998931884766</v>
      </c>
      <c r="C13" s="21">
        <v>66.760002136230469</v>
      </c>
      <c r="D13" s="21">
        <v>107.69000244140625</v>
      </c>
      <c r="E13" s="21">
        <v>83.660003662109375</v>
      </c>
      <c r="F13" s="21">
        <v>53.349998474121094</v>
      </c>
    </row>
    <row r="14" spans="1:9" x14ac:dyDescent="0.2">
      <c r="A14" s="21">
        <v>54.619998931884766</v>
      </c>
      <c r="B14" s="21">
        <v>39.630001068115234</v>
      </c>
      <c r="C14" s="21">
        <v>61.419998168945312</v>
      </c>
      <c r="D14" s="21">
        <v>62.349998474121094</v>
      </c>
      <c r="E14" s="21">
        <v>83.30999755859375</v>
      </c>
      <c r="F14" s="21">
        <v>49.229999542236328</v>
      </c>
    </row>
    <row r="15" spans="1:9" x14ac:dyDescent="0.2">
      <c r="A15" s="21">
        <v>55.099998474121094</v>
      </c>
      <c r="B15" s="21">
        <v>43.290000915527344</v>
      </c>
      <c r="C15" s="21">
        <v>73.089996337890625</v>
      </c>
      <c r="D15" s="21">
        <v>62.330001831054688</v>
      </c>
      <c r="E15" s="21">
        <v>83.099998474121094</v>
      </c>
      <c r="F15" s="21">
        <v>60.599998474121094</v>
      </c>
    </row>
    <row r="16" spans="1:9" x14ac:dyDescent="0.2">
      <c r="A16" s="21">
        <v>56.130001068115234</v>
      </c>
      <c r="B16" s="21">
        <v>43.450000762939453</v>
      </c>
      <c r="C16" s="21">
        <v>49.150001525878906</v>
      </c>
      <c r="D16" s="21">
        <v>106.44999694824219</v>
      </c>
      <c r="E16" s="21">
        <v>83.25</v>
      </c>
      <c r="F16" s="21">
        <v>58.029998779296875</v>
      </c>
    </row>
    <row r="17" spans="1:6" x14ac:dyDescent="0.2">
      <c r="A17" s="21">
        <v>58.119998931884766</v>
      </c>
      <c r="B17" s="21">
        <v>63</v>
      </c>
      <c r="C17" s="21">
        <v>46.650001525878906</v>
      </c>
      <c r="D17" s="21">
        <v>51.130001068115234</v>
      </c>
      <c r="E17" s="21">
        <v>82.610000610351562</v>
      </c>
      <c r="F17" s="21">
        <v>55.119998931884766</v>
      </c>
    </row>
    <row r="18" spans="1:6" x14ac:dyDescent="0.2">
      <c r="A18" s="21">
        <v>60.360000610351562</v>
      </c>
      <c r="B18" s="21">
        <v>52.610000610351562</v>
      </c>
      <c r="C18" s="21">
        <v>61.340000152587891</v>
      </c>
      <c r="D18" s="21">
        <v>28.010000228881836</v>
      </c>
      <c r="E18" s="21">
        <v>83.150001525878906</v>
      </c>
      <c r="F18" s="21">
        <v>53.279998779296875</v>
      </c>
    </row>
    <row r="19" spans="1:6" x14ac:dyDescent="0.2">
      <c r="A19" s="21">
        <v>60.479999542236328</v>
      </c>
      <c r="B19" s="21">
        <v>57.220001220703125</v>
      </c>
      <c r="C19" s="21">
        <v>34.979999542236328</v>
      </c>
      <c r="D19" s="21">
        <v>87.900001525878906</v>
      </c>
      <c r="E19" s="21">
        <v>82.739997863769531</v>
      </c>
      <c r="F19" s="21">
        <v>50.159999847412109</v>
      </c>
    </row>
    <row r="20" spans="1:6" x14ac:dyDescent="0.2">
      <c r="A20" s="21">
        <v>61</v>
      </c>
      <c r="B20" s="21">
        <v>62.569999694824219</v>
      </c>
      <c r="C20" s="21">
        <v>57.869998931884766</v>
      </c>
      <c r="D20" s="21">
        <v>144.39999389648438</v>
      </c>
      <c r="E20" s="21">
        <v>82.889999389648438</v>
      </c>
      <c r="F20" s="21">
        <v>51.810001373291016</v>
      </c>
    </row>
    <row r="21" spans="1:6" x14ac:dyDescent="0.2">
      <c r="A21" s="21">
        <v>61.020000457763672</v>
      </c>
      <c r="B21" s="21">
        <v>51.849998474121094</v>
      </c>
      <c r="C21" s="21">
        <v>52.5</v>
      </c>
      <c r="D21" s="21">
        <v>38.700000762939453</v>
      </c>
      <c r="E21" s="21">
        <v>83.050003051757812</v>
      </c>
      <c r="F21" s="21">
        <v>56.5</v>
      </c>
    </row>
    <row r="22" spans="1:6" x14ac:dyDescent="0.2">
      <c r="A22" s="21">
        <v>61.270000457763672</v>
      </c>
      <c r="B22" s="21">
        <v>63.919998168945312</v>
      </c>
      <c r="C22" s="21">
        <v>49.389999389648438</v>
      </c>
      <c r="D22" s="21">
        <v>89.19000244140625</v>
      </c>
      <c r="E22" s="21">
        <v>83.099998474121094</v>
      </c>
      <c r="F22" s="21">
        <v>54.389999389648438</v>
      </c>
    </row>
    <row r="23" spans="1:6" x14ac:dyDescent="0.2">
      <c r="A23" s="21">
        <v>61.340000152587891</v>
      </c>
      <c r="B23" s="21">
        <v>64.779998779296875</v>
      </c>
      <c r="C23" s="21">
        <v>54.639999389648438</v>
      </c>
      <c r="D23" s="21">
        <v>103.45999908447266</v>
      </c>
      <c r="E23" s="21">
        <v>82.94000244140625</v>
      </c>
      <c r="F23" s="21">
        <v>52.150001525878906</v>
      </c>
    </row>
    <row r="24" spans="1:6" x14ac:dyDescent="0.2">
      <c r="A24" s="21">
        <v>61.639999389648438</v>
      </c>
      <c r="B24" s="21">
        <v>50.759998321533203</v>
      </c>
      <c r="C24" s="21">
        <v>50.5</v>
      </c>
      <c r="D24" s="21">
        <v>96.419998168945312</v>
      </c>
      <c r="E24" s="21">
        <v>82.540000915527344</v>
      </c>
      <c r="F24" s="21">
        <v>51.869998931884766</v>
      </c>
    </row>
    <row r="25" spans="1:6" x14ac:dyDescent="0.2">
      <c r="A25" s="21">
        <v>62.049999237060547</v>
      </c>
      <c r="B25" s="21">
        <v>54.290000915527344</v>
      </c>
      <c r="C25" s="21">
        <v>57.880001068115234</v>
      </c>
      <c r="D25" s="21">
        <v>85.349998474121094</v>
      </c>
      <c r="E25" s="21">
        <v>82.860000610351562</v>
      </c>
      <c r="F25" s="21">
        <v>49.590000152587891</v>
      </c>
    </row>
    <row r="26" spans="1:6" x14ac:dyDescent="0.2">
      <c r="A26" s="21">
        <v>62.639999389648438</v>
      </c>
      <c r="B26" s="21">
        <v>65.80999755859375</v>
      </c>
      <c r="C26" s="21">
        <v>45.080001831054688</v>
      </c>
      <c r="D26" s="21">
        <v>71.370002746582031</v>
      </c>
      <c r="E26" s="21">
        <v>82.779998779296875</v>
      </c>
      <c r="F26" s="21">
        <v>52.810001373291016</v>
      </c>
    </row>
    <row r="27" spans="1:6" x14ac:dyDescent="0.2">
      <c r="A27" s="21">
        <v>63.880001068115234</v>
      </c>
      <c r="B27" s="21">
        <v>60.240001678466797</v>
      </c>
      <c r="C27" s="21">
        <v>51.759998321533203</v>
      </c>
      <c r="D27" s="21">
        <v>76.279998779296875</v>
      </c>
      <c r="E27" s="21">
        <v>83.050003051757812</v>
      </c>
      <c r="F27" s="21">
        <v>54.880001068115234</v>
      </c>
    </row>
    <row r="28" spans="1:6" x14ac:dyDescent="0.2">
      <c r="A28" s="21">
        <v>64.110000610351562</v>
      </c>
      <c r="B28" s="21">
        <v>58.650001525878906</v>
      </c>
      <c r="C28" s="21">
        <v>47.409999847412109</v>
      </c>
      <c r="D28" s="21">
        <v>33.479999542236328</v>
      </c>
      <c r="E28" s="21">
        <v>83.050003051757812</v>
      </c>
      <c r="F28" s="21">
        <v>63.299999237060547</v>
      </c>
    </row>
    <row r="29" spans="1:6" x14ac:dyDescent="0.2">
      <c r="A29" s="21">
        <v>64.580001831054688</v>
      </c>
      <c r="B29" s="21">
        <v>64.569999694824219</v>
      </c>
      <c r="C29" s="21">
        <v>56.909999847412109</v>
      </c>
      <c r="D29" s="21">
        <v>81.760002136230469</v>
      </c>
      <c r="E29" s="21">
        <v>83.430000305175781</v>
      </c>
      <c r="F29" s="21">
        <v>50.360000610351562</v>
      </c>
    </row>
    <row r="30" spans="1:6" x14ac:dyDescent="0.2">
      <c r="A30" s="21">
        <v>66.480003356933594</v>
      </c>
      <c r="B30" s="21">
        <v>49.770000457763672</v>
      </c>
      <c r="C30" s="21">
        <v>38.490001678466797</v>
      </c>
      <c r="D30" s="21">
        <v>109.23999786376953</v>
      </c>
      <c r="E30" s="21">
        <v>83.830001831054688</v>
      </c>
      <c r="F30" s="21">
        <v>55.430000305175781</v>
      </c>
    </row>
    <row r="31" spans="1:6" x14ac:dyDescent="0.2">
      <c r="A31" s="21">
        <v>67.099998474121094</v>
      </c>
      <c r="B31" s="21">
        <v>63.470001220703125</v>
      </c>
      <c r="C31" s="21">
        <v>48.470001220703125</v>
      </c>
      <c r="D31" s="21">
        <v>152.28999328613281</v>
      </c>
      <c r="E31" s="21">
        <v>83.919998168945312</v>
      </c>
      <c r="F31" s="21">
        <v>62.009998321533203</v>
      </c>
    </row>
    <row r="32" spans="1:6" x14ac:dyDescent="0.2">
      <c r="A32" s="21">
        <v>67.349998474121094</v>
      </c>
      <c r="B32" s="21">
        <v>57.810001373291016</v>
      </c>
      <c r="C32" s="21">
        <v>40.900001525878906</v>
      </c>
      <c r="D32" s="21">
        <v>37.540000915527344</v>
      </c>
      <c r="E32" s="21">
        <v>83.94000244140625</v>
      </c>
      <c r="F32" s="21">
        <v>59.150001525878906</v>
      </c>
    </row>
    <row r="33" spans="1:6" x14ac:dyDescent="0.2">
      <c r="A33" s="21">
        <v>67.400001525878906</v>
      </c>
      <c r="B33" s="21">
        <v>60.150001525878906</v>
      </c>
      <c r="C33" s="21">
        <v>41.75</v>
      </c>
      <c r="D33" s="21">
        <v>101.76000213623047</v>
      </c>
      <c r="E33" s="21">
        <v>83.900001525878906</v>
      </c>
      <c r="F33" s="21">
        <v>56.009998321533203</v>
      </c>
    </row>
    <row r="34" spans="1:6" x14ac:dyDescent="0.2">
      <c r="A34" s="21">
        <v>68.050003051757812</v>
      </c>
      <c r="B34" s="21">
        <v>62.580001831054688</v>
      </c>
      <c r="C34" s="21">
        <v>34.759998321533203</v>
      </c>
      <c r="D34" s="21">
        <v>108.65000152587891</v>
      </c>
      <c r="E34" s="21">
        <v>84.230003356933594</v>
      </c>
      <c r="F34" s="21">
        <v>58.209999084472656</v>
      </c>
    </row>
    <row r="35" spans="1:6" x14ac:dyDescent="0.2">
      <c r="A35" s="21">
        <v>69.209999084472656</v>
      </c>
      <c r="B35" s="21">
        <v>70.410003662109375</v>
      </c>
      <c r="C35" s="21">
        <v>35.259998321533203</v>
      </c>
      <c r="D35" s="21">
        <v>76.510002136230469</v>
      </c>
      <c r="E35" s="21">
        <v>84.720001220703125</v>
      </c>
      <c r="F35" s="21">
        <v>54.099998474121094</v>
      </c>
    </row>
    <row r="36" spans="1:6" x14ac:dyDescent="0.2">
      <c r="A36" s="21">
        <v>69.480003356933594</v>
      </c>
      <c r="B36" s="21">
        <v>68.019996643066406</v>
      </c>
      <c r="C36" s="21">
        <v>38.580001831054688</v>
      </c>
      <c r="D36" s="21">
        <v>139.58000183105469</v>
      </c>
      <c r="E36" s="21">
        <v>84.430000305175781</v>
      </c>
      <c r="F36" s="21">
        <v>54.180000305175781</v>
      </c>
    </row>
    <row r="37" spans="1:6" x14ac:dyDescent="0.2">
      <c r="A37" s="21">
        <v>70.930000305175781</v>
      </c>
      <c r="B37" s="21">
        <v>78.769996643066406</v>
      </c>
      <c r="C37" s="21">
        <v>50.75</v>
      </c>
      <c r="D37" s="21">
        <v>28.850000381469727</v>
      </c>
      <c r="E37" s="21">
        <v>85.360000610351562</v>
      </c>
      <c r="F37" s="21">
        <v>63.209999084472656</v>
      </c>
    </row>
    <row r="38" spans="1:6" x14ac:dyDescent="0.2">
      <c r="A38" s="21">
        <v>71.470001220703125</v>
      </c>
      <c r="B38" s="21">
        <v>68.069999694824219</v>
      </c>
      <c r="C38" s="21">
        <v>31.459999084472656</v>
      </c>
      <c r="D38" s="21">
        <v>100.51000213623047</v>
      </c>
      <c r="E38" s="21">
        <v>85.360000610351562</v>
      </c>
      <c r="F38" s="21">
        <v>46.349998474121094</v>
      </c>
    </row>
    <row r="39" spans="1:6" x14ac:dyDescent="0.2">
      <c r="A39" s="21">
        <v>72.419998168945312</v>
      </c>
      <c r="B39" s="21">
        <v>70.25</v>
      </c>
      <c r="C39" s="21">
        <v>39.069999694824219</v>
      </c>
      <c r="D39" s="21">
        <v>87.370002746582031</v>
      </c>
      <c r="E39" s="21">
        <v>85.949996948242188</v>
      </c>
      <c r="F39" s="21">
        <v>52.540000915527344</v>
      </c>
    </row>
    <row r="40" spans="1:6" x14ac:dyDescent="0.2">
      <c r="A40" s="21">
        <v>72.790000915527344</v>
      </c>
      <c r="B40" s="21">
        <v>71.089996337890625</v>
      </c>
      <c r="C40" s="21">
        <v>36.970001220703125</v>
      </c>
      <c r="D40" s="21">
        <v>113.12000274658203</v>
      </c>
      <c r="E40" s="21">
        <v>86</v>
      </c>
      <c r="F40" s="21">
        <v>38.479999542236328</v>
      </c>
    </row>
    <row r="41" spans="1:6" x14ac:dyDescent="0.2">
      <c r="A41" s="21">
        <v>76.260002136230469</v>
      </c>
      <c r="B41" s="21">
        <v>75.739997863769531</v>
      </c>
      <c r="C41" s="21">
        <v>27.979999542236328</v>
      </c>
      <c r="D41" s="21">
        <v>120.04000091552734</v>
      </c>
      <c r="E41" s="21">
        <v>88.029998779296875</v>
      </c>
      <c r="F41" s="21">
        <v>47.889999389648438</v>
      </c>
    </row>
    <row r="42" spans="1:6" x14ac:dyDescent="0.2">
      <c r="A42" s="21">
        <v>76.580001831054688</v>
      </c>
      <c r="B42" s="21">
        <v>82.769996643066406</v>
      </c>
      <c r="C42" s="21">
        <v>44.950000762939453</v>
      </c>
      <c r="D42" s="21">
        <v>58.450000762939453</v>
      </c>
      <c r="E42" s="21">
        <v>88.349998474121094</v>
      </c>
      <c r="F42" s="21">
        <v>50.580001831054688</v>
      </c>
    </row>
    <row r="43" spans="1:6" x14ac:dyDescent="0.2">
      <c r="A43" s="21">
        <v>77.739997863769531</v>
      </c>
      <c r="B43" s="21">
        <v>67.760002136230469</v>
      </c>
      <c r="C43" s="21">
        <v>30.709999084472656</v>
      </c>
      <c r="D43" s="21">
        <v>74.519996643066406</v>
      </c>
      <c r="E43" s="21">
        <v>89</v>
      </c>
      <c r="F43" s="21">
        <v>48.119998931884766</v>
      </c>
    </row>
    <row r="44" spans="1:6" x14ac:dyDescent="0.2">
      <c r="A44" s="21">
        <v>81.160003662109375</v>
      </c>
      <c r="B44" s="21">
        <v>73.25</v>
      </c>
      <c r="C44" s="21">
        <v>36.419998168945312</v>
      </c>
      <c r="D44" s="21">
        <v>88.160003662109375</v>
      </c>
      <c r="E44" s="21">
        <v>91.55999755859375</v>
      </c>
      <c r="F44" s="21">
        <v>10.920000076293945</v>
      </c>
    </row>
    <row r="45" spans="1:6" x14ac:dyDescent="0.2">
      <c r="A45" s="21">
        <v>84.349998474121094</v>
      </c>
      <c r="B45" s="21">
        <v>68.989997863769531</v>
      </c>
      <c r="C45" s="21">
        <v>30.600000381469727</v>
      </c>
      <c r="D45" s="21">
        <v>83.400001525878906</v>
      </c>
      <c r="E45" s="21">
        <v>94.330001831054688</v>
      </c>
      <c r="F45" s="21">
        <v>12.329999923706055</v>
      </c>
    </row>
    <row r="46" spans="1:6" x14ac:dyDescent="0.2">
      <c r="A46" s="21">
        <v>90.040000915527344</v>
      </c>
      <c r="B46" s="21">
        <v>86.760002136230469</v>
      </c>
      <c r="C46" s="21">
        <v>24.219999313354492</v>
      </c>
      <c r="D46" s="21">
        <v>86.099998474121094</v>
      </c>
      <c r="E46" s="21">
        <v>100</v>
      </c>
      <c r="F46" s="21">
        <v>9.7399997711181641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covariance</vt:lpstr>
      <vt:lpstr>practice</vt:lpstr>
      <vt:lpstr>more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Chanh Bao Lam</cp:lastModifiedBy>
  <dcterms:modified xsi:type="dcterms:W3CDTF">2026-01-17T20:30:18Z</dcterms:modified>
</cp:coreProperties>
</file>